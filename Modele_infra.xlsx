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ysBrahmiaFerrier\Desktop\Anaconda\"/>
    </mc:Choice>
  </mc:AlternateContent>
  <xr:revisionPtr revIDLastSave="0" documentId="13_ncr:1_{97FC9A0C-30F5-4CCD-85EE-77398DB43308}" xr6:coauthVersionLast="47" xr6:coauthVersionMax="47" xr10:uidLastSave="{00000000-0000-0000-0000-000000000000}"/>
  <bookViews>
    <workbookView xWindow="-110" yWindow="-110" windowWidth="19420" windowHeight="10300" xr2:uid="{9B5F876A-84DE-4D2B-AADD-32D81CA7B3D4}"/>
  </bookViews>
  <sheets>
    <sheet name="Modèle" sheetId="1" r:id="rId1"/>
    <sheet name="Graphiques" sheetId="2" r:id="rId2"/>
  </sheets>
  <definedNames>
    <definedName name="_xlchart.v1.0" hidden="1">(Modèle!$B$22,Modèle!$B$26,Modèle!$B$31:$B$32,Modèle!$B$40)</definedName>
    <definedName name="_xlchart.v1.1" hidden="1">(Modèle!$G$22,Modèle!$G$26,Modèle!$G$31:$G$32,Modèle!$G$40)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G42" i="1"/>
  <c r="H37" i="1"/>
  <c r="I37" i="1"/>
  <c r="J37" i="1"/>
  <c r="K37" i="1"/>
  <c r="L37" i="1"/>
  <c r="M37" i="1"/>
  <c r="N37" i="1"/>
  <c r="O37" i="1"/>
  <c r="P37" i="1"/>
  <c r="H21" i="1"/>
  <c r="H22" i="1" s="1"/>
  <c r="H25" i="1" s="1"/>
  <c r="H26" i="1" s="1"/>
  <c r="H27" i="1" s="1"/>
  <c r="I21" i="1"/>
  <c r="J21" i="1"/>
  <c r="K21" i="1"/>
  <c r="L21" i="1"/>
  <c r="L22" i="1" s="1"/>
  <c r="M21" i="1"/>
  <c r="M22" i="1" s="1"/>
  <c r="N21" i="1"/>
  <c r="O21" i="1"/>
  <c r="O22" i="1" s="1"/>
  <c r="O25" i="1" s="1"/>
  <c r="O26" i="1" s="1"/>
  <c r="P21" i="1"/>
  <c r="P22" i="1" s="1"/>
  <c r="P25" i="1" s="1"/>
  <c r="P26" i="1" s="1"/>
  <c r="H20" i="1"/>
  <c r="I20" i="1"/>
  <c r="J20" i="1"/>
  <c r="K20" i="1"/>
  <c r="K22" i="1" s="1"/>
  <c r="K25" i="1" s="1"/>
  <c r="K26" i="1" s="1"/>
  <c r="K27" i="1" s="1"/>
  <c r="L20" i="1"/>
  <c r="M20" i="1"/>
  <c r="N20" i="1"/>
  <c r="O20" i="1"/>
  <c r="P20" i="1"/>
  <c r="G37" i="1"/>
  <c r="G21" i="1"/>
  <c r="G20" i="1"/>
  <c r="G30" i="1"/>
  <c r="I22" i="1"/>
  <c r="I25" i="1" s="1"/>
  <c r="I26" i="1" s="1"/>
  <c r="I27" i="1" s="1"/>
  <c r="J22" i="1"/>
  <c r="J25" i="1" s="1"/>
  <c r="J26" i="1" s="1"/>
  <c r="J27" i="1" s="1"/>
  <c r="H36" i="1"/>
  <c r="I36" i="1"/>
  <c r="J36" i="1"/>
  <c r="K36" i="1"/>
  <c r="L36" i="1"/>
  <c r="M36" i="1"/>
  <c r="N36" i="1"/>
  <c r="O36" i="1"/>
  <c r="P36" i="1"/>
  <c r="G36" i="1"/>
  <c r="H31" i="1"/>
  <c r="H32" i="1"/>
  <c r="H34" i="1" s="1"/>
  <c r="I30" i="1" s="1"/>
  <c r="I32" i="1"/>
  <c r="J32" i="1"/>
  <c r="K32" i="1"/>
  <c r="L32" i="1"/>
  <c r="M32" i="1"/>
  <c r="N32" i="1"/>
  <c r="O32" i="1"/>
  <c r="P32" i="1"/>
  <c r="N22" i="1"/>
  <c r="N25" i="1" s="1"/>
  <c r="N26" i="1" s="1"/>
  <c r="H23" i="1"/>
  <c r="I23" i="1"/>
  <c r="J23" i="1"/>
  <c r="K23" i="1"/>
  <c r="L23" i="1"/>
  <c r="M23" i="1"/>
  <c r="N23" i="1"/>
  <c r="O23" i="1"/>
  <c r="P23" i="1"/>
  <c r="H24" i="1"/>
  <c r="I24" i="1"/>
  <c r="J24" i="1"/>
  <c r="K24" i="1"/>
  <c r="L24" i="1"/>
  <c r="M24" i="1"/>
  <c r="N24" i="1"/>
  <c r="O24" i="1"/>
  <c r="P24" i="1"/>
  <c r="G34" i="1"/>
  <c r="H30" i="1" s="1"/>
  <c r="G32" i="1"/>
  <c r="G31" i="1"/>
  <c r="G24" i="1"/>
  <c r="G23" i="1"/>
  <c r="I5" i="1"/>
  <c r="J5" i="1" s="1"/>
  <c r="K5" i="1" s="1"/>
  <c r="L5" i="1" s="1"/>
  <c r="M5" i="1" s="1"/>
  <c r="N5" i="1" s="1"/>
  <c r="O5" i="1" s="1"/>
  <c r="P5" i="1" s="1"/>
  <c r="H5" i="1"/>
  <c r="D8" i="1"/>
  <c r="P27" i="1" l="1"/>
  <c r="O27" i="1"/>
  <c r="N27" i="1"/>
  <c r="G22" i="1"/>
  <c r="G25" i="1" s="1"/>
  <c r="G26" i="1" s="1"/>
  <c r="G27" i="1" s="1"/>
  <c r="J40" i="1"/>
  <c r="I40" i="1"/>
  <c r="H40" i="1"/>
  <c r="K40" i="1"/>
  <c r="M25" i="1"/>
  <c r="M26" i="1" s="1"/>
  <c r="M27" i="1" s="1"/>
  <c r="L25" i="1"/>
  <c r="L26" i="1" s="1"/>
  <c r="L27" i="1" s="1"/>
  <c r="I31" i="1"/>
  <c r="I34" i="1"/>
  <c r="J30" i="1" s="1"/>
  <c r="P40" i="1" l="1"/>
  <c r="N40" i="1"/>
  <c r="O40" i="1"/>
  <c r="L40" i="1"/>
  <c r="M40" i="1"/>
  <c r="G40" i="1"/>
  <c r="J31" i="1"/>
  <c r="J34" i="1"/>
  <c r="K30" i="1" s="1"/>
  <c r="K31" i="1" l="1"/>
  <c r="K34" i="1"/>
  <c r="L30" i="1" s="1"/>
  <c r="L31" i="1" l="1"/>
  <c r="L34" i="1"/>
  <c r="M30" i="1" s="1"/>
  <c r="M31" i="1" l="1"/>
  <c r="M34" i="1"/>
  <c r="N30" i="1" s="1"/>
  <c r="N34" i="1" l="1"/>
  <c r="O30" i="1" s="1"/>
  <c r="N31" i="1"/>
  <c r="O34" i="1" l="1"/>
  <c r="P30" i="1" s="1"/>
  <c r="O31" i="1"/>
  <c r="P34" i="1" l="1"/>
  <c r="P31" i="1"/>
</calcChain>
</file>

<file path=xl/sharedStrings.xml><?xml version="1.0" encoding="utf-8"?>
<sst xmlns="http://schemas.openxmlformats.org/spreadsheetml/2006/main" count="39" uniqueCount="35">
  <si>
    <t>Libellé</t>
  </si>
  <si>
    <t>Unité</t>
  </si>
  <si>
    <t>Valeur</t>
  </si>
  <si>
    <t>Construction &amp; Funding</t>
  </si>
  <si>
    <t>Total CAPEX</t>
  </si>
  <si>
    <t>K€</t>
  </si>
  <si>
    <t>Debt/CAPEX (Leverage)</t>
  </si>
  <si>
    <t>%</t>
  </si>
  <si>
    <t>Equity/ CAPEX</t>
  </si>
  <si>
    <t>Opérational Data</t>
  </si>
  <si>
    <t>Production annuelle</t>
  </si>
  <si>
    <t>Barils</t>
  </si>
  <si>
    <t>Prix du baril (Base)</t>
  </si>
  <si>
    <t>$/bbl</t>
  </si>
  <si>
    <t>OPEX par baril</t>
  </si>
  <si>
    <t>Debt Assumptions</t>
  </si>
  <si>
    <t>Taux d'interet</t>
  </si>
  <si>
    <t>Maturité de la dette</t>
  </si>
  <si>
    <t>années</t>
  </si>
  <si>
    <t>Revenus</t>
  </si>
  <si>
    <t>OPEX</t>
  </si>
  <si>
    <t>EBITDA</t>
  </si>
  <si>
    <t>Amortissements</t>
  </si>
  <si>
    <t>Interets</t>
  </si>
  <si>
    <t xml:space="preserve">EBIT </t>
  </si>
  <si>
    <t>Impots corrigés</t>
  </si>
  <si>
    <t>Dette d'ouverture</t>
  </si>
  <si>
    <t>Années</t>
  </si>
  <si>
    <t>Remboursement du principal</t>
  </si>
  <si>
    <t>Dette de fermeture</t>
  </si>
  <si>
    <t xml:space="preserve">CFADS </t>
  </si>
  <si>
    <t>Service de la dette</t>
  </si>
  <si>
    <t>DSCR</t>
  </si>
  <si>
    <t>Cash flow to equity</t>
  </si>
  <si>
    <t>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</si>
</sst>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\ &quot;€&quot;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right"/>
    </xf>
    <xf numFmtId="0" fontId="4" fillId="0" borderId="0" xfId="0" applyFont="1"/>
    <xf numFmtId="164" fontId="4" fillId="0" borderId="0" xfId="0" applyNumberFormat="1" applyFont="1"/>
    <xf numFmtId="9" fontId="4" fillId="0" borderId="0" xfId="0" applyNumberFormat="1" applyFont="1"/>
    <xf numFmtId="3" fontId="4" fillId="0" borderId="0" xfId="0" applyNumberFormat="1" applyFont="1"/>
    <xf numFmtId="0" fontId="5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0" fillId="0" borderId="0" xfId="1" applyFont="1"/>
    <xf numFmtId="0" fontId="5" fillId="0" borderId="0" xfId="0" applyFont="1"/>
    <xf numFmtId="2" fontId="4" fillId="0" borderId="0" xfId="0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Cash Flow W	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Cash Flow W	aterfall</a:t>
          </a:r>
        </a:p>
      </cx:txPr>
    </cx:title>
    <cx:plotArea>
      <cx:plotAreaRegion>
        <cx:series layoutId="waterfall" uniqueId="{E8923A6E-AEBE-494B-915C-B68C8B6C8DB1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4</xdr:row>
      <xdr:rowOff>9525</xdr:rowOff>
    </xdr:from>
    <xdr:to>
      <xdr:col>6</xdr:col>
      <xdr:colOff>742950</xdr:colOff>
      <xdr:row>18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A1498FA6-763D-4E7A-91BB-9A81630F7E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950" y="746125"/>
              <a:ext cx="4572000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AB9F-DF13-42D7-83CB-9195A0FCD665}">
  <dimension ref="B1:P42"/>
  <sheetViews>
    <sheetView showGridLines="0" tabSelected="1" zoomScale="64" zoomScaleNormal="64" workbookViewId="0">
      <selection activeCell="D17" sqref="D17"/>
    </sheetView>
  </sheetViews>
  <sheetFormatPr baseColWidth="10" defaultRowHeight="14.5" x14ac:dyDescent="0.35"/>
  <cols>
    <col min="2" max="2" width="27" style="4" bestFit="1" customWidth="1"/>
    <col min="3" max="3" width="13.81640625" bestFit="1" customWidth="1"/>
    <col min="4" max="4" width="14.6328125" bestFit="1" customWidth="1"/>
    <col min="6" max="6" width="12.81640625" bestFit="1" customWidth="1"/>
    <col min="7" max="16" width="16" bestFit="1" customWidth="1"/>
  </cols>
  <sheetData>
    <row r="1" spans="2:16" x14ac:dyDescent="0.35">
      <c r="B1" s="9" t="s">
        <v>0</v>
      </c>
      <c r="C1" s="14" t="s">
        <v>1</v>
      </c>
      <c r="D1" s="14" t="s">
        <v>2</v>
      </c>
      <c r="E1" s="14"/>
      <c r="F1" s="14"/>
      <c r="G1" s="14" t="s">
        <v>27</v>
      </c>
    </row>
    <row r="5" spans="2:16" ht="15" thickBot="1" x14ac:dyDescent="0.4">
      <c r="B5" s="10" t="s">
        <v>3</v>
      </c>
      <c r="F5" s="11">
        <v>0</v>
      </c>
      <c r="G5" s="11">
        <v>1</v>
      </c>
      <c r="H5" s="12">
        <f>G5+1</f>
        <v>2</v>
      </c>
      <c r="I5" s="12">
        <f t="shared" ref="I5:P5" si="0">H5+1</f>
        <v>3</v>
      </c>
      <c r="J5" s="12">
        <f t="shared" si="0"/>
        <v>4</v>
      </c>
      <c r="K5" s="12">
        <f t="shared" si="0"/>
        <v>5</v>
      </c>
      <c r="L5" s="12">
        <f t="shared" si="0"/>
        <v>6</v>
      </c>
      <c r="M5" s="12">
        <f t="shared" si="0"/>
        <v>7</v>
      </c>
      <c r="N5" s="12">
        <f t="shared" si="0"/>
        <v>8</v>
      </c>
      <c r="O5" s="12">
        <f t="shared" si="0"/>
        <v>9</v>
      </c>
      <c r="P5" s="12">
        <f t="shared" si="0"/>
        <v>10</v>
      </c>
    </row>
    <row r="6" spans="2:16" x14ac:dyDescent="0.35">
      <c r="B6" s="10" t="s">
        <v>4</v>
      </c>
      <c r="C6" t="s">
        <v>5</v>
      </c>
      <c r="D6" s="6">
        <v>200000</v>
      </c>
    </row>
    <row r="7" spans="2:16" x14ac:dyDescent="0.35">
      <c r="B7" s="10" t="s">
        <v>6</v>
      </c>
      <c r="C7" t="s">
        <v>7</v>
      </c>
      <c r="D7" s="7">
        <v>0.7</v>
      </c>
    </row>
    <row r="8" spans="2:16" x14ac:dyDescent="0.35">
      <c r="B8" s="10" t="s">
        <v>8</v>
      </c>
      <c r="C8" t="s">
        <v>7</v>
      </c>
      <c r="D8" s="3">
        <f>1-D7</f>
        <v>0.30000000000000004</v>
      </c>
    </row>
    <row r="9" spans="2:16" x14ac:dyDescent="0.35">
      <c r="B9" s="10"/>
    </row>
    <row r="10" spans="2:16" x14ac:dyDescent="0.35">
      <c r="B10" s="10" t="s">
        <v>9</v>
      </c>
      <c r="H10" s="3"/>
    </row>
    <row r="11" spans="2:16" x14ac:dyDescent="0.35">
      <c r="B11" s="10" t="s">
        <v>10</v>
      </c>
      <c r="C11" t="s">
        <v>11</v>
      </c>
      <c r="D11" s="8">
        <v>1000000</v>
      </c>
    </row>
    <row r="12" spans="2:16" x14ac:dyDescent="0.35">
      <c r="B12" s="10" t="s">
        <v>12</v>
      </c>
      <c r="C12" t="s">
        <v>13</v>
      </c>
      <c r="D12" s="5">
        <v>60</v>
      </c>
    </row>
    <row r="13" spans="2:16" x14ac:dyDescent="0.35">
      <c r="B13" s="10" t="s">
        <v>14</v>
      </c>
      <c r="C13" t="s">
        <v>13</v>
      </c>
      <c r="D13" s="5">
        <v>15</v>
      </c>
    </row>
    <row r="14" spans="2:16" x14ac:dyDescent="0.35">
      <c r="B14" s="10"/>
    </row>
    <row r="15" spans="2:16" x14ac:dyDescent="0.35">
      <c r="B15" s="10" t="s">
        <v>15</v>
      </c>
    </row>
    <row r="16" spans="2:16" x14ac:dyDescent="0.35">
      <c r="B16" s="10" t="s">
        <v>16</v>
      </c>
      <c r="C16" t="s">
        <v>7</v>
      </c>
      <c r="D16" s="7">
        <v>0.05</v>
      </c>
    </row>
    <row r="17" spans="2:16" x14ac:dyDescent="0.35">
      <c r="B17" s="10" t="s">
        <v>17</v>
      </c>
      <c r="C17" t="s">
        <v>18</v>
      </c>
      <c r="D17" s="15">
        <v>10</v>
      </c>
    </row>
    <row r="18" spans="2:16" x14ac:dyDescent="0.35">
      <c r="B18" s="10"/>
    </row>
    <row r="19" spans="2:16" x14ac:dyDescent="0.35">
      <c r="B19" s="10"/>
    </row>
    <row r="20" spans="2:16" x14ac:dyDescent="0.35">
      <c r="B20" s="10" t="s">
        <v>19</v>
      </c>
      <c r="G20" s="13">
        <f>($D$11 * $D$12)/1000</f>
        <v>60000</v>
      </c>
      <c r="H20" s="13">
        <f t="shared" ref="H20:P20" si="1">($D$11 * $D$12)/1000</f>
        <v>60000</v>
      </c>
      <c r="I20" s="13">
        <f t="shared" si="1"/>
        <v>60000</v>
      </c>
      <c r="J20" s="13">
        <f t="shared" si="1"/>
        <v>60000</v>
      </c>
      <c r="K20" s="13">
        <f t="shared" si="1"/>
        <v>60000</v>
      </c>
      <c r="L20" s="13">
        <f t="shared" si="1"/>
        <v>60000</v>
      </c>
      <c r="M20" s="13">
        <f t="shared" si="1"/>
        <v>60000</v>
      </c>
      <c r="N20" s="13">
        <f t="shared" si="1"/>
        <v>60000</v>
      </c>
      <c r="O20" s="13">
        <f t="shared" si="1"/>
        <v>60000</v>
      </c>
      <c r="P20" s="13">
        <f t="shared" si="1"/>
        <v>60000</v>
      </c>
    </row>
    <row r="21" spans="2:16" x14ac:dyDescent="0.35">
      <c r="B21" s="10" t="s">
        <v>20</v>
      </c>
      <c r="C21" s="1"/>
      <c r="G21" s="13">
        <f>($D$11*$D$13-1)/1000</f>
        <v>14999.999</v>
      </c>
      <c r="H21" s="13">
        <f t="shared" ref="H21:P21" si="2">($D$11*$D$13-1)/1000</f>
        <v>14999.999</v>
      </c>
      <c r="I21" s="13">
        <f t="shared" si="2"/>
        <v>14999.999</v>
      </c>
      <c r="J21" s="13">
        <f t="shared" si="2"/>
        <v>14999.999</v>
      </c>
      <c r="K21" s="13">
        <f t="shared" si="2"/>
        <v>14999.999</v>
      </c>
      <c r="L21" s="13">
        <f t="shared" si="2"/>
        <v>14999.999</v>
      </c>
      <c r="M21" s="13">
        <f t="shared" si="2"/>
        <v>14999.999</v>
      </c>
      <c r="N21" s="13">
        <f t="shared" si="2"/>
        <v>14999.999</v>
      </c>
      <c r="O21" s="13">
        <f t="shared" si="2"/>
        <v>14999.999</v>
      </c>
      <c r="P21" s="13">
        <f t="shared" si="2"/>
        <v>14999.999</v>
      </c>
    </row>
    <row r="22" spans="2:16" x14ac:dyDescent="0.35">
      <c r="B22" s="10" t="s">
        <v>21</v>
      </c>
      <c r="G22" s="13">
        <f>G20-G21</f>
        <v>45000.001000000004</v>
      </c>
      <c r="H22" s="13">
        <f t="shared" ref="H22:M22" si="3">H20-H21</f>
        <v>45000.001000000004</v>
      </c>
      <c r="I22" s="13">
        <f t="shared" si="3"/>
        <v>45000.001000000004</v>
      </c>
      <c r="J22" s="13">
        <f t="shared" si="3"/>
        <v>45000.001000000004</v>
      </c>
      <c r="K22" s="13">
        <f t="shared" si="3"/>
        <v>45000.001000000004</v>
      </c>
      <c r="L22" s="13">
        <f t="shared" si="3"/>
        <v>45000.001000000004</v>
      </c>
      <c r="M22" s="13">
        <f t="shared" si="3"/>
        <v>45000.001000000004</v>
      </c>
      <c r="N22" s="13">
        <f t="shared" ref="N22:P22" si="4">SUM(N20:N21)</f>
        <v>74999.998999999996</v>
      </c>
      <c r="O22" s="13">
        <f t="shared" si="4"/>
        <v>74999.998999999996</v>
      </c>
      <c r="P22" s="13">
        <f t="shared" si="4"/>
        <v>74999.998999999996</v>
      </c>
    </row>
    <row r="23" spans="2:16" x14ac:dyDescent="0.35">
      <c r="B23" s="10" t="s">
        <v>22</v>
      </c>
      <c r="C23" s="2"/>
      <c r="G23" s="13">
        <f>$D$6 / $D$17*-1</f>
        <v>-20000</v>
      </c>
      <c r="H23" s="13">
        <f t="shared" ref="H23:P23" si="5">$D$6 / $D$17*-1</f>
        <v>-20000</v>
      </c>
      <c r="I23" s="13">
        <f t="shared" si="5"/>
        <v>-20000</v>
      </c>
      <c r="J23" s="13">
        <f t="shared" si="5"/>
        <v>-20000</v>
      </c>
      <c r="K23" s="13">
        <f t="shared" si="5"/>
        <v>-20000</v>
      </c>
      <c r="L23" s="13">
        <f t="shared" si="5"/>
        <v>-20000</v>
      </c>
      <c r="M23" s="13">
        <f t="shared" si="5"/>
        <v>-20000</v>
      </c>
      <c r="N23" s="13">
        <f t="shared" si="5"/>
        <v>-20000</v>
      </c>
      <c r="O23" s="13">
        <f t="shared" si="5"/>
        <v>-20000</v>
      </c>
      <c r="P23" s="13">
        <f t="shared" si="5"/>
        <v>-20000</v>
      </c>
    </row>
    <row r="24" spans="2:16" x14ac:dyDescent="0.35">
      <c r="B24" s="10" t="s">
        <v>23</v>
      </c>
      <c r="C24" s="3"/>
      <c r="G24" s="13">
        <f>$D$15*-1</f>
        <v>0</v>
      </c>
      <c r="H24" s="13">
        <f t="shared" ref="H24:P24" si="6">$D$15*-1</f>
        <v>0</v>
      </c>
      <c r="I24" s="13">
        <f t="shared" si="6"/>
        <v>0</v>
      </c>
      <c r="J24" s="13">
        <f t="shared" si="6"/>
        <v>0</v>
      </c>
      <c r="K24" s="13">
        <f t="shared" si="6"/>
        <v>0</v>
      </c>
      <c r="L24" s="13">
        <f t="shared" si="6"/>
        <v>0</v>
      </c>
      <c r="M24" s="13">
        <f t="shared" si="6"/>
        <v>0</v>
      </c>
      <c r="N24" s="13">
        <f t="shared" si="6"/>
        <v>0</v>
      </c>
      <c r="O24" s="13">
        <f t="shared" si="6"/>
        <v>0</v>
      </c>
      <c r="P24" s="13">
        <f t="shared" si="6"/>
        <v>0</v>
      </c>
    </row>
    <row r="25" spans="2:16" x14ac:dyDescent="0.35">
      <c r="B25" s="10" t="s">
        <v>24</v>
      </c>
      <c r="C25" s="2"/>
      <c r="G25" s="13">
        <f>G22+G23+K24</f>
        <v>25000.001000000004</v>
      </c>
      <c r="H25" s="13">
        <f t="shared" ref="H25:P25" si="7">H22+H23+L24</f>
        <v>25000.001000000004</v>
      </c>
      <c r="I25" s="13">
        <f t="shared" si="7"/>
        <v>25000.001000000004</v>
      </c>
      <c r="J25" s="13">
        <f t="shared" si="7"/>
        <v>25000.001000000004</v>
      </c>
      <c r="K25" s="13">
        <f t="shared" si="7"/>
        <v>25000.001000000004</v>
      </c>
      <c r="L25" s="13">
        <f t="shared" si="7"/>
        <v>25000.001000000004</v>
      </c>
      <c r="M25" s="13">
        <f t="shared" si="7"/>
        <v>25000.001000000004</v>
      </c>
      <c r="N25" s="13">
        <f t="shared" si="7"/>
        <v>54999.998999999996</v>
      </c>
      <c r="O25" s="13">
        <f t="shared" si="7"/>
        <v>54999.998999999996</v>
      </c>
      <c r="P25" s="13">
        <f t="shared" si="7"/>
        <v>54999.998999999996</v>
      </c>
    </row>
    <row r="26" spans="2:16" x14ac:dyDescent="0.35">
      <c r="B26" s="10" t="s">
        <v>25</v>
      </c>
      <c r="G26" s="13">
        <f>IF(G25&gt;0,G25*25%-1,0)</f>
        <v>6249.000250000001</v>
      </c>
      <c r="H26" s="13">
        <f t="shared" ref="H26:P26" si="8">IF(H25&gt;0,H25*25%-1,0)</f>
        <v>6249.000250000001</v>
      </c>
      <c r="I26" s="13">
        <f t="shared" si="8"/>
        <v>6249.000250000001</v>
      </c>
      <c r="J26" s="13">
        <f t="shared" si="8"/>
        <v>6249.000250000001</v>
      </c>
      <c r="K26" s="13">
        <f t="shared" si="8"/>
        <v>6249.000250000001</v>
      </c>
      <c r="L26" s="13">
        <f t="shared" si="8"/>
        <v>6249.000250000001</v>
      </c>
      <c r="M26" s="13">
        <f t="shared" si="8"/>
        <v>6249.000250000001</v>
      </c>
      <c r="N26" s="13">
        <f t="shared" si="8"/>
        <v>13748.999749999999</v>
      </c>
      <c r="O26" s="13">
        <f t="shared" si="8"/>
        <v>13748.999749999999</v>
      </c>
      <c r="P26" s="13">
        <f t="shared" si="8"/>
        <v>13748.999749999999</v>
      </c>
    </row>
    <row r="27" spans="2:16" x14ac:dyDescent="0.35">
      <c r="B27" s="10" t="s">
        <v>30</v>
      </c>
      <c r="G27" s="13">
        <f>G22-G26</f>
        <v>38751.000750000007</v>
      </c>
      <c r="H27" s="13">
        <f t="shared" ref="H27:P27" si="9">H22-H26</f>
        <v>38751.000750000007</v>
      </c>
      <c r="I27" s="13">
        <f t="shared" si="9"/>
        <v>38751.000750000007</v>
      </c>
      <c r="J27" s="13">
        <f t="shared" si="9"/>
        <v>38751.000750000007</v>
      </c>
      <c r="K27" s="13">
        <f t="shared" si="9"/>
        <v>38751.000750000007</v>
      </c>
      <c r="L27" s="13">
        <f t="shared" si="9"/>
        <v>38751.000750000007</v>
      </c>
      <c r="M27" s="13">
        <f t="shared" si="9"/>
        <v>38751.000750000007</v>
      </c>
      <c r="N27" s="13">
        <f t="shared" si="9"/>
        <v>61250.999249999993</v>
      </c>
      <c r="O27" s="13">
        <f t="shared" si="9"/>
        <v>61250.999249999993</v>
      </c>
      <c r="P27" s="13">
        <f t="shared" si="9"/>
        <v>61250.999249999993</v>
      </c>
    </row>
    <row r="28" spans="2:16" x14ac:dyDescent="0.35">
      <c r="B28" s="10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2:16" x14ac:dyDescent="0.35">
      <c r="B29" s="10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2:16" x14ac:dyDescent="0.35">
      <c r="B30" s="10" t="s">
        <v>26</v>
      </c>
      <c r="C30" s="2"/>
      <c r="G30" s="13">
        <f>$D$6*$D$7</f>
        <v>140000</v>
      </c>
      <c r="H30" s="13">
        <f>G34</f>
        <v>126000</v>
      </c>
      <c r="I30" s="13">
        <f t="shared" ref="I30:P30" si="10">H34</f>
        <v>112000</v>
      </c>
      <c r="J30" s="13">
        <f t="shared" si="10"/>
        <v>98000</v>
      </c>
      <c r="K30" s="13">
        <f t="shared" si="10"/>
        <v>84000</v>
      </c>
      <c r="L30" s="13">
        <f t="shared" si="10"/>
        <v>70000</v>
      </c>
      <c r="M30" s="13">
        <f t="shared" si="10"/>
        <v>56000</v>
      </c>
      <c r="N30" s="13">
        <f t="shared" si="10"/>
        <v>42000</v>
      </c>
      <c r="O30" s="13">
        <f t="shared" si="10"/>
        <v>28000</v>
      </c>
      <c r="P30" s="13">
        <f t="shared" si="10"/>
        <v>14000</v>
      </c>
    </row>
    <row r="31" spans="2:16" x14ac:dyDescent="0.35">
      <c r="B31" s="10" t="s">
        <v>23</v>
      </c>
      <c r="G31" s="13">
        <f>G30 * $D$16* -1</f>
        <v>-7000</v>
      </c>
      <c r="H31" s="13">
        <f t="shared" ref="H31:P31" si="11">H30 * $D$16* -1</f>
        <v>-6300</v>
      </c>
      <c r="I31" s="13">
        <f t="shared" si="11"/>
        <v>-5600</v>
      </c>
      <c r="J31" s="13">
        <f t="shared" si="11"/>
        <v>-4900</v>
      </c>
      <c r="K31" s="13">
        <f t="shared" si="11"/>
        <v>-4200</v>
      </c>
      <c r="L31" s="13">
        <f t="shared" si="11"/>
        <v>-3500</v>
      </c>
      <c r="M31" s="13">
        <f t="shared" si="11"/>
        <v>-2800</v>
      </c>
      <c r="N31" s="13">
        <f t="shared" si="11"/>
        <v>-2100</v>
      </c>
      <c r="O31" s="13">
        <f t="shared" si="11"/>
        <v>-1400</v>
      </c>
      <c r="P31" s="13">
        <f t="shared" si="11"/>
        <v>-700</v>
      </c>
    </row>
    <row r="32" spans="2:16" x14ac:dyDescent="0.35">
      <c r="B32" s="10" t="s">
        <v>28</v>
      </c>
      <c r="G32" s="13">
        <f>$D$6 * $D$7 / $D$17 * -1</f>
        <v>-14000</v>
      </c>
      <c r="H32" s="13">
        <f t="shared" ref="H32:P32" si="12">$D$6 * $D$7 / $D$17 * -1</f>
        <v>-14000</v>
      </c>
      <c r="I32" s="13">
        <f t="shared" si="12"/>
        <v>-14000</v>
      </c>
      <c r="J32" s="13">
        <f t="shared" si="12"/>
        <v>-14000</v>
      </c>
      <c r="K32" s="13">
        <f t="shared" si="12"/>
        <v>-14000</v>
      </c>
      <c r="L32" s="13">
        <f t="shared" si="12"/>
        <v>-14000</v>
      </c>
      <c r="M32" s="13">
        <f t="shared" si="12"/>
        <v>-14000</v>
      </c>
      <c r="N32" s="13">
        <f t="shared" si="12"/>
        <v>-14000</v>
      </c>
      <c r="O32" s="13">
        <f t="shared" si="12"/>
        <v>-14000</v>
      </c>
      <c r="P32" s="13">
        <f t="shared" si="12"/>
        <v>-14000</v>
      </c>
    </row>
    <row r="33" spans="2:16" x14ac:dyDescent="0.35">
      <c r="B33" s="10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2:16" x14ac:dyDescent="0.35">
      <c r="B34" s="10" t="s">
        <v>29</v>
      </c>
      <c r="G34" s="13">
        <f>G30+G32</f>
        <v>126000</v>
      </c>
      <c r="H34" s="13">
        <f t="shared" ref="H34:P34" si="13">H30+H32</f>
        <v>112000</v>
      </c>
      <c r="I34" s="13">
        <f t="shared" si="13"/>
        <v>98000</v>
      </c>
      <c r="J34" s="13">
        <f t="shared" si="13"/>
        <v>84000</v>
      </c>
      <c r="K34" s="13">
        <f t="shared" si="13"/>
        <v>70000</v>
      </c>
      <c r="L34" s="13">
        <f t="shared" si="13"/>
        <v>56000</v>
      </c>
      <c r="M34" s="13">
        <f t="shared" si="13"/>
        <v>42000</v>
      </c>
      <c r="N34" s="13">
        <f t="shared" si="13"/>
        <v>28000</v>
      </c>
      <c r="O34" s="13">
        <f t="shared" si="13"/>
        <v>14000</v>
      </c>
      <c r="P34" s="13">
        <f t="shared" si="13"/>
        <v>0</v>
      </c>
    </row>
    <row r="35" spans="2:16" x14ac:dyDescent="0.35">
      <c r="B35" s="10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2:16" x14ac:dyDescent="0.35">
      <c r="B36" s="10" t="s">
        <v>31</v>
      </c>
      <c r="G36" s="13">
        <f>ABS(G31)+ABS(G32)</f>
        <v>21000</v>
      </c>
      <c r="H36" s="13">
        <f t="shared" ref="H36:P36" si="14">ABS(H31)+ABS(H32)</f>
        <v>20300</v>
      </c>
      <c r="I36" s="13">
        <f t="shared" si="14"/>
        <v>19600</v>
      </c>
      <c r="J36" s="13">
        <f t="shared" si="14"/>
        <v>18900</v>
      </c>
      <c r="K36" s="13">
        <f t="shared" si="14"/>
        <v>18200</v>
      </c>
      <c r="L36" s="13">
        <f t="shared" si="14"/>
        <v>17500</v>
      </c>
      <c r="M36" s="13">
        <f t="shared" si="14"/>
        <v>16800</v>
      </c>
      <c r="N36" s="13">
        <f t="shared" si="14"/>
        <v>16100</v>
      </c>
      <c r="O36" s="13">
        <f t="shared" si="14"/>
        <v>15400</v>
      </c>
      <c r="P36" s="13">
        <f t="shared" si="14"/>
        <v>14700</v>
      </c>
    </row>
    <row r="37" spans="2:16" x14ac:dyDescent="0.35">
      <c r="B37" s="10" t="s">
        <v>32</v>
      </c>
      <c r="G37" s="13">
        <f>G27/(G36)</f>
        <v>1.8452857500000004</v>
      </c>
      <c r="H37" s="13">
        <f t="shared" ref="H37:P37" si="15">H27/(H36)</f>
        <v>1.9089162931034487</v>
      </c>
      <c r="I37" s="13">
        <f t="shared" si="15"/>
        <v>1.9770918750000004</v>
      </c>
      <c r="J37" s="13">
        <f t="shared" si="15"/>
        <v>2.0503175000000002</v>
      </c>
      <c r="K37" s="13">
        <f t="shared" si="15"/>
        <v>2.1291758653846156</v>
      </c>
      <c r="L37" s="13">
        <f t="shared" si="15"/>
        <v>2.2143429000000006</v>
      </c>
      <c r="M37" s="13">
        <f t="shared" si="15"/>
        <v>2.3066071875000005</v>
      </c>
      <c r="N37" s="13">
        <f t="shared" si="15"/>
        <v>3.8044098913043474</v>
      </c>
      <c r="O37" s="13">
        <f t="shared" si="15"/>
        <v>3.9773376136363634</v>
      </c>
      <c r="P37" s="13">
        <f t="shared" si="15"/>
        <v>4.1667346428571426</v>
      </c>
    </row>
    <row r="38" spans="2:16" x14ac:dyDescent="0.35">
      <c r="B38" s="10"/>
    </row>
    <row r="39" spans="2:16" x14ac:dyDescent="0.35">
      <c r="B39" s="10"/>
    </row>
    <row r="40" spans="2:16" x14ac:dyDescent="0.35">
      <c r="B40" s="10" t="s">
        <v>33</v>
      </c>
      <c r="F40" s="13">
        <f>(($D$6 * $D$8))</f>
        <v>60000.000000000007</v>
      </c>
      <c r="G40" s="13">
        <f>(G27/1000) - G36</f>
        <v>-20961.248999250001</v>
      </c>
      <c r="H40" s="13">
        <f t="shared" ref="H40:P40" si="16">(H27/1000) - H36</f>
        <v>-20261.248999250001</v>
      </c>
      <c r="I40" s="13">
        <f t="shared" si="16"/>
        <v>-19561.248999250001</v>
      </c>
      <c r="J40" s="13">
        <f t="shared" si="16"/>
        <v>-18861.248999250001</v>
      </c>
      <c r="K40" s="13">
        <f t="shared" si="16"/>
        <v>-18161.248999250001</v>
      </c>
      <c r="L40" s="13">
        <f t="shared" si="16"/>
        <v>-17461.248999250001</v>
      </c>
      <c r="M40" s="13">
        <f t="shared" si="16"/>
        <v>-16761.248999250001</v>
      </c>
      <c r="N40" s="13">
        <f t="shared" si="16"/>
        <v>-16038.74900075</v>
      </c>
      <c r="O40" s="13">
        <f t="shared" si="16"/>
        <v>-15338.74900075</v>
      </c>
      <c r="P40" s="13">
        <f t="shared" si="16"/>
        <v>-14638.74900075</v>
      </c>
    </row>
    <row r="41" spans="2:16" x14ac:dyDescent="0.35">
      <c r="B41" s="10"/>
    </row>
    <row r="42" spans="2:16" x14ac:dyDescent="0.35">
      <c r="B42" s="10" t="s">
        <v>34</v>
      </c>
      <c r="G42" s="3">
        <f>IRR(F40:P40)</f>
        <v>0.29527837355404341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F084-9C64-40D0-9015-3E1AD91C3821}">
  <dimension ref="A1"/>
  <sheetViews>
    <sheetView zoomScale="87" zoomScaleNormal="87" workbookViewId="0">
      <selection activeCell="H12" sqref="H12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Modèle</vt:lpstr>
      <vt:lpstr>Graphiques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Mathys Brahmia Ferrier</dc:creator>
  <cp:lastModifiedBy>Mathys Brahmia Ferrier</cp:lastModifiedBy>
  <dcterms:created xsi:type="dcterms:W3CDTF">2026-01-26T15:59:24Z</dcterms:created>
  <dcterms:modified xsi:type="dcterms:W3CDTF">2026-01-27T13:56:54Z</dcterms:modified>
</cp:coreProperties>
</file>